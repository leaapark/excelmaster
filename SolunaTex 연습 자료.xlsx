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Pedidos" sheetId="2" state="visible" r:id="rId2"/>
    <sheet name="Precios" sheetId="3" state="visible" r:id="rId3"/>
    <sheet name="Presupuesto" sheetId="4" state="visible" r:id="rId4"/>
    <sheet name="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$&quot; #,##0"/>
    <numFmt numFmtId="167" formatCode="&quot;$&quot; 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5EFE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7" fontId="0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tock" displayName="Stock" ref="A1:E16" headerRowCount="1">
  <autoFilter ref="A1:E16"/>
  <tableColumns count="5">
    <tableColumn id="1" name="Tela"/>
    <tableColumn id="2" name="Color"/>
    <tableColumn id="3" name="Rollos"/>
    <tableColumn id="4" name="Metros x rollo"/>
    <tableColumn id="5" name="Metros total"/>
  </tableColumns>
  <tableStyleInfo name="TableStyleMedium7" showRowStripes="1"/>
</table>
</file>

<file path=xl/tables/table2.xml><?xml version="1.0" encoding="utf-8"?>
<table xmlns="http://schemas.openxmlformats.org/spreadsheetml/2006/main" id="2" name="Pedidos" displayName="Pedidos" ref="A1:E21" headerRowCount="1">
  <autoFilter ref="A1:E21"/>
  <tableColumns count="5">
    <tableColumn id="1" name="Fecha"/>
    <tableColumn id="2" name="Cliente"/>
    <tableColumn id="3" name="Tela"/>
    <tableColumn id="4" name="Metros"/>
    <tableColumn id="5" name="Es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4" customWidth="1" min="5" max="5"/>
  </cols>
  <sheetData>
    <row r="1">
      <c r="A1" t="inlineStr">
        <is>
          <t>Tela</t>
        </is>
      </c>
      <c r="B1" t="inlineStr">
        <is>
          <t>Color</t>
        </is>
      </c>
      <c r="C1" t="inlineStr">
        <is>
          <t>Rollos</t>
        </is>
      </c>
      <c r="D1" t="inlineStr">
        <is>
          <t>Metros x rollo</t>
        </is>
      </c>
      <c r="E1" t="inlineStr">
        <is>
          <t>Metros total</t>
        </is>
      </c>
    </row>
    <row r="2">
      <c r="A2" t="inlineStr">
        <is>
          <t>Algodón</t>
        </is>
      </c>
      <c r="B2" t="inlineStr">
        <is>
          <t>Blanco</t>
        </is>
      </c>
      <c r="C2" t="n">
        <v>12</v>
      </c>
      <c r="D2" t="n">
        <v>50</v>
      </c>
      <c r="E2">
        <f>C2*D2</f>
        <v/>
      </c>
    </row>
    <row r="3">
      <c r="A3" t="inlineStr">
        <is>
          <t>Algodón</t>
        </is>
      </c>
      <c r="B3" t="inlineStr">
        <is>
          <t>Negro</t>
        </is>
      </c>
      <c r="C3" t="n">
        <v>7</v>
      </c>
      <c r="D3" t="n">
        <v>50</v>
      </c>
      <c r="E3">
        <f>C3*D3</f>
        <v/>
      </c>
    </row>
    <row r="4">
      <c r="A4" t="inlineStr">
        <is>
          <t>Lino</t>
        </is>
      </c>
      <c r="B4" t="inlineStr">
        <is>
          <t>Beige</t>
        </is>
      </c>
      <c r="C4" t="n">
        <v>5</v>
      </c>
      <c r="D4" t="n">
        <v>40</v>
      </c>
      <c r="E4">
        <f>C4*D4</f>
        <v/>
      </c>
    </row>
    <row r="5">
      <c r="A5" t="inlineStr">
        <is>
          <t>Lino</t>
        </is>
      </c>
      <c r="B5" t="inlineStr">
        <is>
          <t>Blanco</t>
        </is>
      </c>
      <c r="C5" t="n">
        <v>2</v>
      </c>
      <c r="D5" t="n">
        <v>40</v>
      </c>
      <c r="E5">
        <f>C5*D5</f>
        <v/>
      </c>
    </row>
    <row r="6">
      <c r="A6" t="inlineStr">
        <is>
          <t>Poliéster</t>
        </is>
      </c>
      <c r="B6" t="inlineStr">
        <is>
          <t>Negro</t>
        </is>
      </c>
      <c r="C6" t="n">
        <v>8</v>
      </c>
      <c r="D6" t="n">
        <v>60</v>
      </c>
      <c r="E6">
        <f>C6*D6</f>
        <v/>
      </c>
    </row>
    <row r="7">
      <c r="A7" t="inlineStr">
        <is>
          <t>Poliéster</t>
        </is>
      </c>
      <c r="B7" t="inlineStr">
        <is>
          <t>Azul</t>
        </is>
      </c>
      <c r="C7" t="n">
        <v>4</v>
      </c>
      <c r="D7" t="n">
        <v>60</v>
      </c>
      <c r="E7">
        <f>C7*D7</f>
        <v/>
      </c>
    </row>
    <row r="8">
      <c r="A8" t="inlineStr">
        <is>
          <t>Rayón</t>
        </is>
      </c>
      <c r="B8" t="inlineStr">
        <is>
          <t>Azul</t>
        </is>
      </c>
      <c r="C8" t="n">
        <v>3</v>
      </c>
      <c r="D8" t="n">
        <v>45</v>
      </c>
      <c r="E8">
        <f>C8*D8</f>
        <v/>
      </c>
    </row>
    <row r="9">
      <c r="A9" t="inlineStr">
        <is>
          <t>Rayón</t>
        </is>
      </c>
      <c r="B9" t="inlineStr">
        <is>
          <t>Rojo</t>
        </is>
      </c>
      <c r="C9" t="n">
        <v>6</v>
      </c>
      <c r="D9" t="n">
        <v>45</v>
      </c>
      <c r="E9">
        <f>C9*D9</f>
        <v/>
      </c>
    </row>
    <row r="10">
      <c r="A10" t="inlineStr">
        <is>
          <t>Gabardina</t>
        </is>
      </c>
      <c r="B10" t="inlineStr">
        <is>
          <t>Verde</t>
        </is>
      </c>
      <c r="C10" t="n">
        <v>9</v>
      </c>
      <c r="D10" t="n">
        <v>55</v>
      </c>
      <c r="E10">
        <f>C10*D10</f>
        <v/>
      </c>
    </row>
    <row r="11">
      <c r="A11" t="inlineStr">
        <is>
          <t>Gabardina</t>
        </is>
      </c>
      <c r="B11" t="inlineStr">
        <is>
          <t>Gris</t>
        </is>
      </c>
      <c r="C11" t="n">
        <v>11</v>
      </c>
      <c r="D11" t="n">
        <v>55</v>
      </c>
      <c r="E11">
        <f>C11*D11</f>
        <v/>
      </c>
    </row>
    <row r="12">
      <c r="A12" t="inlineStr">
        <is>
          <t>Seda</t>
        </is>
      </c>
      <c r="B12" t="inlineStr">
        <is>
          <t>Natural</t>
        </is>
      </c>
      <c r="C12" t="n">
        <v>1</v>
      </c>
      <c r="D12" t="n">
        <v>30</v>
      </c>
      <c r="E12">
        <f>C12*D12</f>
        <v/>
      </c>
    </row>
    <row r="13">
      <c r="A13" t="inlineStr">
        <is>
          <t>Jersey</t>
        </is>
      </c>
      <c r="B13" t="inlineStr">
        <is>
          <t>Gris</t>
        </is>
      </c>
      <c r="C13" t="n">
        <v>14</v>
      </c>
      <c r="D13" t="n">
        <v>40</v>
      </c>
      <c r="E13">
        <f>C13*D13</f>
        <v/>
      </c>
    </row>
    <row r="14">
      <c r="A14" t="inlineStr">
        <is>
          <t>Jersey</t>
        </is>
      </c>
      <c r="B14" t="inlineStr">
        <is>
          <t>Negro</t>
        </is>
      </c>
      <c r="C14" t="n">
        <v>10</v>
      </c>
      <c r="D14" t="n">
        <v>40</v>
      </c>
      <c r="E14">
        <f>C14*D14</f>
        <v/>
      </c>
    </row>
    <row r="15">
      <c r="A15" t="inlineStr">
        <is>
          <t>Denim</t>
        </is>
      </c>
      <c r="B15" t="inlineStr">
        <is>
          <t>Azul</t>
        </is>
      </c>
      <c r="C15" t="n">
        <v>15</v>
      </c>
      <c r="D15" t="n">
        <v>50</v>
      </c>
      <c r="E15">
        <f>C15*D15</f>
        <v/>
      </c>
    </row>
    <row r="16">
      <c r="A16" t="inlineStr">
        <is>
          <t>Tul</t>
        </is>
      </c>
      <c r="B16" t="inlineStr">
        <is>
          <t>Blanco</t>
        </is>
      </c>
      <c r="C16" t="n">
        <v>4</v>
      </c>
      <c r="D16" t="n">
        <v>70</v>
      </c>
      <c r="E16">
        <f>C16*D16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0" customWidth="1" min="4" max="4"/>
    <col width="13" customWidth="1" min="5" max="5"/>
  </cols>
  <sheetData>
    <row r="1">
      <c r="A1" t="inlineStr">
        <is>
          <t>Fecha</t>
        </is>
      </c>
      <c r="B1" t="inlineStr">
        <is>
          <t>Cliente</t>
        </is>
      </c>
      <c r="C1" t="inlineStr">
        <is>
          <t>Tela</t>
        </is>
      </c>
      <c r="D1" t="inlineStr">
        <is>
          <t>Metros</t>
        </is>
      </c>
      <c r="E1" t="inlineStr">
        <is>
          <t>Estado</t>
        </is>
      </c>
    </row>
    <row r="2">
      <c r="A2" s="1" t="n">
        <v>46266</v>
      </c>
      <c r="B2" t="inlineStr">
        <is>
          <t>Moda Sur</t>
        </is>
      </c>
      <c r="C2" t="inlineStr">
        <is>
          <t>Algodón</t>
        </is>
      </c>
      <c r="D2" t="n">
        <v>30</v>
      </c>
      <c r="E2" t="inlineStr">
        <is>
          <t>Entregado</t>
        </is>
      </c>
    </row>
    <row r="3">
      <c r="A3" s="1" t="n">
        <v>46268</v>
      </c>
      <c r="B3" t="inlineStr">
        <is>
          <t>Textil Norte</t>
        </is>
      </c>
      <c r="C3" t="inlineStr">
        <is>
          <t>Lino</t>
        </is>
      </c>
      <c r="D3" t="n">
        <v>47</v>
      </c>
      <c r="E3" t="inlineStr">
        <is>
          <t>Entregado</t>
        </is>
      </c>
    </row>
    <row r="4">
      <c r="A4" s="1" t="n">
        <v>46270</v>
      </c>
      <c r="B4" t="inlineStr">
        <is>
          <t>Casa Lucía</t>
        </is>
      </c>
      <c r="C4" t="inlineStr">
        <is>
          <t>Rayón</t>
        </is>
      </c>
      <c r="D4" t="n">
        <v>64</v>
      </c>
      <c r="E4" t="inlineStr">
        <is>
          <t>Entregado</t>
        </is>
      </c>
    </row>
    <row r="5">
      <c r="A5" s="1" t="n">
        <v>46272</v>
      </c>
      <c r="B5" t="inlineStr">
        <is>
          <t>Moda Sur</t>
        </is>
      </c>
      <c r="C5" t="inlineStr">
        <is>
          <t>Gabardina</t>
        </is>
      </c>
      <c r="D5" t="n">
        <v>81</v>
      </c>
      <c r="E5" t="inlineStr">
        <is>
          <t>Entregado</t>
        </is>
      </c>
    </row>
    <row r="6">
      <c r="A6" s="1" t="n">
        <v>46274</v>
      </c>
      <c r="B6" t="inlineStr">
        <is>
          <t>Confecciones Andes</t>
        </is>
      </c>
      <c r="C6" t="inlineStr">
        <is>
          <t>Jersey</t>
        </is>
      </c>
      <c r="D6" t="n">
        <v>98</v>
      </c>
      <c r="E6" t="inlineStr">
        <is>
          <t>Entregado</t>
        </is>
      </c>
    </row>
    <row r="7">
      <c r="A7" s="1" t="n">
        <v>46276</v>
      </c>
      <c r="B7" t="inlineStr">
        <is>
          <t>Moda Sur</t>
        </is>
      </c>
      <c r="C7" t="inlineStr">
        <is>
          <t>Algodón</t>
        </is>
      </c>
      <c r="D7" t="n">
        <v>115</v>
      </c>
      <c r="E7" t="inlineStr">
        <is>
          <t>Entregado</t>
        </is>
      </c>
    </row>
    <row r="8">
      <c r="A8" s="1" t="n">
        <v>46278</v>
      </c>
      <c r="B8" t="inlineStr">
        <is>
          <t>Textil Norte</t>
        </is>
      </c>
      <c r="C8" t="inlineStr">
        <is>
          <t>Lino</t>
        </is>
      </c>
      <c r="D8" t="n">
        <v>132</v>
      </c>
      <c r="E8" t="inlineStr">
        <is>
          <t>Entregado</t>
        </is>
      </c>
    </row>
    <row r="9">
      <c r="A9" s="1" t="n">
        <v>46280</v>
      </c>
      <c r="B9" t="inlineStr">
        <is>
          <t>Casa Lucía</t>
        </is>
      </c>
      <c r="C9" t="inlineStr">
        <is>
          <t>Rayón</t>
        </is>
      </c>
      <c r="D9" t="n">
        <v>149</v>
      </c>
      <c r="E9" t="inlineStr">
        <is>
          <t>Entregado</t>
        </is>
      </c>
    </row>
    <row r="10">
      <c r="A10" s="1" t="n">
        <v>46282</v>
      </c>
      <c r="B10" t="inlineStr">
        <is>
          <t>Moda Sur</t>
        </is>
      </c>
      <c r="C10" t="inlineStr">
        <is>
          <t>Gabardina</t>
        </is>
      </c>
      <c r="D10" t="n">
        <v>166</v>
      </c>
      <c r="E10" t="inlineStr">
        <is>
          <t>Enviado</t>
        </is>
      </c>
    </row>
    <row r="11">
      <c r="A11" s="1" t="n">
        <v>46284</v>
      </c>
      <c r="B11" t="inlineStr">
        <is>
          <t>Confecciones Andes</t>
        </is>
      </c>
      <c r="C11" t="inlineStr">
        <is>
          <t>Jersey</t>
        </is>
      </c>
      <c r="D11" t="n">
        <v>43</v>
      </c>
      <c r="E11" t="inlineStr">
        <is>
          <t>Enviado</t>
        </is>
      </c>
    </row>
    <row r="12">
      <c r="A12" s="1" t="n">
        <v>46286</v>
      </c>
      <c r="B12" t="inlineStr">
        <is>
          <t>Moda Sur</t>
        </is>
      </c>
      <c r="C12" t="inlineStr">
        <is>
          <t>Algodón</t>
        </is>
      </c>
      <c r="D12" t="n">
        <v>60</v>
      </c>
      <c r="E12" t="inlineStr">
        <is>
          <t>Enviado</t>
        </is>
      </c>
    </row>
    <row r="13">
      <c r="A13" s="1" t="n">
        <v>46288</v>
      </c>
      <c r="B13" t="inlineStr">
        <is>
          <t>Textil Norte</t>
        </is>
      </c>
      <c r="C13" t="inlineStr">
        <is>
          <t>Lino</t>
        </is>
      </c>
      <c r="D13" t="n">
        <v>77</v>
      </c>
      <c r="E13" t="inlineStr">
        <is>
          <t>Enviado</t>
        </is>
      </c>
    </row>
    <row r="14">
      <c r="A14" s="1" t="n">
        <v>46290</v>
      </c>
      <c r="B14" t="inlineStr">
        <is>
          <t>Casa Lucía</t>
        </is>
      </c>
      <c r="C14" t="inlineStr">
        <is>
          <t>Rayón</t>
        </is>
      </c>
      <c r="D14" t="n">
        <v>94</v>
      </c>
      <c r="E14" t="inlineStr">
        <is>
          <t>En corte</t>
        </is>
      </c>
    </row>
    <row r="15">
      <c r="A15" s="1" t="n">
        <v>46292</v>
      </c>
      <c r="B15" t="inlineStr">
        <is>
          <t>Moda Sur</t>
        </is>
      </c>
      <c r="C15" t="inlineStr">
        <is>
          <t>Gabardina</t>
        </is>
      </c>
      <c r="D15" t="n">
        <v>111</v>
      </c>
      <c r="E15" t="inlineStr">
        <is>
          <t>En corte</t>
        </is>
      </c>
    </row>
    <row r="16">
      <c r="A16" s="1" t="n">
        <v>46294</v>
      </c>
      <c r="B16" t="inlineStr">
        <is>
          <t>Confecciones Andes</t>
        </is>
      </c>
      <c r="C16" t="inlineStr">
        <is>
          <t>Jersey</t>
        </is>
      </c>
      <c r="D16" t="n">
        <v>128</v>
      </c>
      <c r="E16" t="inlineStr">
        <is>
          <t>En corte</t>
        </is>
      </c>
    </row>
    <row r="17">
      <c r="A17" s="1" t="n">
        <v>46296</v>
      </c>
      <c r="B17" t="inlineStr">
        <is>
          <t>Moda Sur</t>
        </is>
      </c>
      <c r="C17" t="inlineStr">
        <is>
          <t>Algodón</t>
        </is>
      </c>
      <c r="D17" t="n">
        <v>145</v>
      </c>
      <c r="E17" t="inlineStr">
        <is>
          <t>En corte</t>
        </is>
      </c>
    </row>
    <row r="18">
      <c r="A18" s="1" t="n">
        <v>46298</v>
      </c>
      <c r="B18" t="inlineStr">
        <is>
          <t>Textil Norte</t>
        </is>
      </c>
      <c r="C18" t="inlineStr">
        <is>
          <t>Lino</t>
        </is>
      </c>
      <c r="D18" t="n">
        <v>162</v>
      </c>
      <c r="E18" t="inlineStr">
        <is>
          <t>Pendiente</t>
        </is>
      </c>
    </row>
    <row r="19">
      <c r="A19" s="1" t="n">
        <v>46300</v>
      </c>
      <c r="B19" t="inlineStr">
        <is>
          <t>Casa Lucía</t>
        </is>
      </c>
      <c r="C19" t="inlineStr">
        <is>
          <t>Rayón</t>
        </is>
      </c>
      <c r="D19" t="n">
        <v>39</v>
      </c>
      <c r="E19" t="inlineStr">
        <is>
          <t>Pendiente</t>
        </is>
      </c>
    </row>
    <row r="20">
      <c r="A20" s="1" t="n">
        <v>46302</v>
      </c>
      <c r="B20" t="inlineStr">
        <is>
          <t>Moda Sur</t>
        </is>
      </c>
      <c r="C20" t="inlineStr">
        <is>
          <t>Gabardina</t>
        </is>
      </c>
      <c r="D20" t="n">
        <v>56</v>
      </c>
      <c r="E20" t="inlineStr">
        <is>
          <t>Pendiente</t>
        </is>
      </c>
    </row>
    <row r="21">
      <c r="A21" s="1" t="n">
        <v>46304</v>
      </c>
      <c r="B21" t="inlineStr">
        <is>
          <t>Confecciones Andes</t>
        </is>
      </c>
      <c r="C21" t="inlineStr">
        <is>
          <t>Jersey</t>
        </is>
      </c>
      <c r="D21" t="n">
        <v>73</v>
      </c>
      <c r="E21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4" customWidth="1" min="4" max="4"/>
    <col width="12" customWidth="1" min="5" max="5"/>
    <col width="4" customWidth="1" min="6" max="6"/>
    <col width="8" customWidth="1" min="7" max="7"/>
    <col width="8" customWidth="1" min="8" max="8"/>
  </cols>
  <sheetData>
    <row r="1">
      <c r="A1" s="2" t="inlineStr">
        <is>
          <t>Tela</t>
        </is>
      </c>
      <c r="B1" s="2" t="inlineStr">
        <is>
          <t>Costo x m</t>
        </is>
      </c>
      <c r="C1" s="2" t="inlineStr">
        <is>
          <t>Margen</t>
        </is>
      </c>
      <c r="D1" s="2" t="inlineStr">
        <is>
          <t>Precio venta</t>
        </is>
      </c>
      <c r="E1" s="2" t="inlineStr">
        <is>
          <t>Con IVA</t>
        </is>
      </c>
    </row>
    <row r="2">
      <c r="A2" t="inlineStr">
        <is>
          <t>Algodón</t>
        </is>
      </c>
      <c r="B2" s="3" t="n">
        <v>2800</v>
      </c>
      <c r="C2" s="4" t="n">
        <v>0.3</v>
      </c>
    </row>
    <row r="3">
      <c r="A3" t="inlineStr">
        <is>
          <t>Lino</t>
        </is>
      </c>
      <c r="B3" s="3" t="n">
        <v>5200</v>
      </c>
      <c r="C3" s="4" t="n">
        <v>0.35</v>
      </c>
    </row>
    <row r="4">
      <c r="A4" t="inlineStr">
        <is>
          <t>Poliéster</t>
        </is>
      </c>
      <c r="B4" s="3" t="n">
        <v>2100</v>
      </c>
      <c r="C4" s="4" t="n">
        <v>0.3</v>
      </c>
    </row>
    <row r="5">
      <c r="A5" t="inlineStr">
        <is>
          <t>Rayón</t>
        </is>
      </c>
      <c r="B5" s="3" t="n">
        <v>3300</v>
      </c>
      <c r="C5" s="4" t="n">
        <v>0.3</v>
      </c>
    </row>
    <row r="6">
      <c r="A6" t="inlineStr">
        <is>
          <t>Gabardina</t>
        </is>
      </c>
      <c r="B6" s="3" t="n">
        <v>3900</v>
      </c>
      <c r="C6" s="4" t="n">
        <v>0.32</v>
      </c>
    </row>
    <row r="7">
      <c r="A7" t="inlineStr">
        <is>
          <t>Seda</t>
        </is>
      </c>
      <c r="B7" s="3" t="n">
        <v>9800</v>
      </c>
      <c r="C7" s="4" t="n">
        <v>0.4</v>
      </c>
    </row>
    <row r="8">
      <c r="A8" t="inlineStr">
        <is>
          <t>Jersey</t>
        </is>
      </c>
      <c r="B8" s="3" t="n">
        <v>2500</v>
      </c>
      <c r="C8" s="4" t="n">
        <v>0.3</v>
      </c>
    </row>
    <row r="9">
      <c r="A9" t="inlineStr">
        <is>
          <t>Denim</t>
        </is>
      </c>
      <c r="B9" s="3" t="n">
        <v>4100</v>
      </c>
      <c r="C9" s="4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6" customWidth="1" min="4" max="4"/>
  </cols>
  <sheetData>
    <row r="1">
      <c r="A1" s="5" t="inlineStr">
        <is>
          <t>SolunaTex — Presupuesto</t>
        </is>
      </c>
    </row>
    <row r="2">
      <c r="A2" t="inlineStr">
        <is>
          <t>Cliente</t>
        </is>
      </c>
      <c r="C2" t="inlineStr">
        <is>
          <t>Fecha</t>
        </is>
      </c>
      <c r="D2" s="1" t="n">
        <v>46308</v>
      </c>
    </row>
    <row r="3">
      <c r="A3" s="6" t="inlineStr">
        <is>
          <t>Tela</t>
        </is>
      </c>
      <c r="B3" s="6" t="inlineStr">
        <is>
          <t>Metros</t>
        </is>
      </c>
      <c r="C3" s="6" t="inlineStr">
        <is>
          <t>Precio</t>
        </is>
      </c>
      <c r="D3" s="6" t="inlineStr">
        <is>
          <t>Importe</t>
        </is>
      </c>
    </row>
    <row r="4">
      <c r="A4" s="7" t="n"/>
      <c r="B4" s="7" t="n"/>
      <c r="C4" s="8" t="n"/>
      <c r="D4" s="8">
        <f>B4*C4</f>
        <v/>
      </c>
    </row>
    <row r="5">
      <c r="A5" s="7" t="n"/>
      <c r="B5" s="7" t="n"/>
      <c r="C5" s="8" t="n"/>
      <c r="D5" s="8">
        <f>B5*C5</f>
        <v/>
      </c>
    </row>
    <row r="6">
      <c r="A6" s="7" t="n"/>
      <c r="B6" s="7" t="n"/>
      <c r="C6" s="8" t="n"/>
      <c r="D6" s="8">
        <f>B6*C6</f>
        <v/>
      </c>
    </row>
    <row r="7">
      <c r="A7" s="7" t="n"/>
      <c r="B7" s="7" t="n"/>
      <c r="C7" s="8" t="n"/>
      <c r="D7" s="8">
        <f>B7*C7</f>
        <v/>
      </c>
    </row>
    <row r="8">
      <c r="A8" s="7" t="n"/>
      <c r="B8" s="7" t="n"/>
      <c r="C8" s="8" t="n"/>
      <c r="D8" s="8">
        <f>B8*C8</f>
        <v/>
      </c>
    </row>
    <row r="9">
      <c r="C9" s="8" t="inlineStr">
        <is>
          <t>Subtotal</t>
        </is>
      </c>
      <c r="D9" s="8">
        <f>SUM(D4:D8)</f>
        <v/>
      </c>
    </row>
    <row r="10">
      <c r="C10" s="8" t="inlineStr">
        <is>
          <t>IVA 21%</t>
        </is>
      </c>
      <c r="D10" s="8">
        <f>D9*0.21</f>
        <v/>
      </c>
    </row>
    <row r="11">
      <c r="C11" s="9" t="inlineStr">
        <is>
          <t>Total</t>
        </is>
      </c>
      <c r="D11" s="9">
        <f>D9+D10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Mes</t>
        </is>
      </c>
      <c r="B1" s="2" t="inlineStr">
        <is>
          <t>Ventas</t>
        </is>
      </c>
      <c r="C1" s="2" t="inlineStr">
        <is>
          <t>Gastos</t>
        </is>
      </c>
      <c r="D1" s="2" t="inlineStr">
        <is>
          <t>Ganancia</t>
        </is>
      </c>
    </row>
    <row r="2">
      <c r="A2" t="inlineStr">
        <is>
          <t>Enero</t>
        </is>
      </c>
      <c r="B2" s="3" t="n">
        <v>6900000</v>
      </c>
      <c r="C2" s="3" t="n">
        <v>5600000</v>
      </c>
      <c r="D2" s="3" t="n"/>
    </row>
    <row r="3">
      <c r="A3" t="inlineStr">
        <is>
          <t>Febrero</t>
        </is>
      </c>
      <c r="B3" s="3" t="n">
        <v>7100000</v>
      </c>
      <c r="C3" s="3" t="n">
        <v>5700000</v>
      </c>
      <c r="D3" s="3" t="n"/>
    </row>
    <row r="4">
      <c r="A4" t="inlineStr">
        <is>
          <t>Marzo</t>
        </is>
      </c>
      <c r="B4" s="3" t="n">
        <v>7800000</v>
      </c>
      <c r="C4" s="3" t="n">
        <v>6000000</v>
      </c>
      <c r="D4" s="3" t="n"/>
    </row>
    <row r="5">
      <c r="A5" t="inlineStr">
        <is>
          <t>Abril</t>
        </is>
      </c>
      <c r="B5" s="3" t="n">
        <v>7400000</v>
      </c>
      <c r="C5" s="3" t="n">
        <v>5900000</v>
      </c>
      <c r="D5" s="3" t="n"/>
    </row>
    <row r="6">
      <c r="A6" t="inlineStr">
        <is>
          <t>Mayo</t>
        </is>
      </c>
      <c r="B6" s="3" t="n">
        <v>8000000</v>
      </c>
      <c r="C6" s="3" t="n">
        <v>6200000</v>
      </c>
      <c r="D6" s="3" t="n"/>
    </row>
    <row r="7">
      <c r="A7" t="inlineStr">
        <is>
          <t>Junio</t>
        </is>
      </c>
      <c r="B7" s="3" t="n">
        <v>7700000</v>
      </c>
      <c r="C7" s="3" t="n">
        <v>6000000</v>
      </c>
      <c r="D7" s="3" t="n"/>
    </row>
    <row r="8">
      <c r="A8" t="inlineStr">
        <is>
          <t>Julio</t>
        </is>
      </c>
      <c r="B8" s="3" t="n">
        <v>8200000</v>
      </c>
      <c r="C8" s="3" t="n">
        <v>6100000</v>
      </c>
      <c r="D8" s="3" t="n"/>
    </row>
    <row r="9">
      <c r="A9" t="inlineStr">
        <is>
          <t>Agosto</t>
        </is>
      </c>
      <c r="B9" s="3" t="n">
        <v>9100000</v>
      </c>
      <c r="C9" s="3" t="n">
        <v>6500000</v>
      </c>
      <c r="D9" s="3" t="n"/>
    </row>
    <row r="10">
      <c r="A10" t="inlineStr">
        <is>
          <t>Septiembre</t>
        </is>
      </c>
      <c r="B10" s="3" t="n">
        <v>7600000</v>
      </c>
      <c r="C10" s="3" t="n">
        <v>6300000</v>
      </c>
      <c r="D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2026-10-13T14:39:17Z</dcterms:created>
  <dcterms:modified xsi:type="dcterms:W3CDTF">2026-10-13T14:39:17Z</dcterms:modified>
</cp:coreProperties>
</file>